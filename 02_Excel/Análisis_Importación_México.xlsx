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C075736F-2713-8344-96BA-7C03205EF3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os_Importación" sheetId="1" r:id="rId1"/>
    <sheet name="Resultado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I51" i="1"/>
  <c r="H50" i="1"/>
  <c r="I50" i="1"/>
  <c r="H49" i="1"/>
  <c r="I49" i="1"/>
  <c r="H48" i="1"/>
  <c r="I48" i="1"/>
  <c r="H47" i="1"/>
  <c r="I47" i="1"/>
  <c r="H46" i="1"/>
  <c r="I46" i="1"/>
  <c r="H45" i="1"/>
  <c r="I45" i="1"/>
  <c r="H44" i="1"/>
  <c r="I44" i="1"/>
  <c r="H43" i="1"/>
  <c r="I43" i="1"/>
  <c r="H42" i="1"/>
  <c r="I42" i="1"/>
  <c r="H41" i="1"/>
  <c r="I41" i="1"/>
  <c r="H40" i="1"/>
  <c r="I40" i="1"/>
  <c r="H39" i="1"/>
  <c r="I39" i="1"/>
  <c r="H38" i="1"/>
  <c r="I38" i="1"/>
  <c r="H37" i="1"/>
  <c r="I37" i="1"/>
  <c r="H36" i="1"/>
  <c r="I36" i="1"/>
  <c r="H35" i="1"/>
  <c r="I35" i="1"/>
  <c r="H34" i="1"/>
  <c r="I34" i="1"/>
  <c r="H33" i="1"/>
  <c r="I33" i="1"/>
  <c r="H32" i="1"/>
  <c r="I32" i="1"/>
  <c r="H31" i="1"/>
  <c r="I31" i="1"/>
  <c r="H30" i="1"/>
  <c r="I30" i="1"/>
  <c r="H29" i="1"/>
  <c r="I29" i="1"/>
  <c r="H28" i="1"/>
  <c r="I28" i="1"/>
  <c r="H27" i="1"/>
  <c r="I27" i="1"/>
  <c r="H26" i="1"/>
  <c r="I26" i="1"/>
  <c r="H25" i="1"/>
  <c r="I25" i="1"/>
  <c r="H24" i="1"/>
  <c r="I24" i="1"/>
  <c r="H23" i="1"/>
  <c r="I23" i="1"/>
  <c r="H22" i="1"/>
  <c r="I22" i="1"/>
  <c r="H21" i="1"/>
  <c r="I21" i="1"/>
  <c r="H20" i="1"/>
  <c r="I20" i="1"/>
  <c r="H19" i="1"/>
  <c r="I19" i="1"/>
  <c r="H18" i="1"/>
  <c r="I18" i="1"/>
  <c r="H17" i="1"/>
  <c r="I17" i="1"/>
  <c r="H16" i="1"/>
  <c r="I16" i="1"/>
  <c r="H15" i="1"/>
  <c r="I15" i="1"/>
  <c r="H14" i="1"/>
  <c r="I14" i="1"/>
  <c r="H13" i="1"/>
  <c r="I13" i="1"/>
  <c r="H12" i="1"/>
  <c r="I12" i="1"/>
  <c r="H11" i="1"/>
  <c r="I11" i="1"/>
  <c r="H10" i="1"/>
  <c r="I10" i="1"/>
  <c r="H9" i="1"/>
  <c r="I9" i="1"/>
  <c r="H8" i="1"/>
  <c r="I8" i="1"/>
  <c r="H7" i="1"/>
  <c r="I7" i="1"/>
  <c r="H6" i="1"/>
  <c r="I6" i="1"/>
  <c r="H5" i="1"/>
  <c r="I5" i="1"/>
  <c r="H4" i="1"/>
  <c r="I4" i="1"/>
  <c r="H3" i="1"/>
  <c r="I3" i="1"/>
  <c r="H2" i="1"/>
  <c r="I2" i="1"/>
</calcChain>
</file>

<file path=xl/sharedStrings.xml><?xml version="1.0" encoding="utf-8"?>
<sst xmlns="http://schemas.openxmlformats.org/spreadsheetml/2006/main" count="235" uniqueCount="136">
  <si>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</si>
  <si>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</si>
  <si>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</si>
  <si>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</si>
  <si>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</si>
  <si>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</si>
  <si>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</si>
  <si>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</si>
  <si>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</si>
  <si>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</si>
  <si>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</si>
  <si>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</si>
  <si>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</si>
  <si>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</si>
  <si>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</si>
  <si>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</si>
  <si>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</si>
  <si>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</si>
  <si>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</si>
  <si>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</si>
  <si>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</si>
  <si>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</si>
  <si>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</si>
  <si>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</si>
  <si>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</si>
  <si>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</si>
  <si>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</si>
  <si>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</si>
  <si>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</si>
  <si>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</si>
  <si>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</si>
  <si>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</si>
  <si>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</si>
  <si>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</si>
  <si>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</si>
  <si>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</si>
  <si>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</si>
  <si>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</si>
  <si>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</si>
  <si>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</si>
  <si>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</si>
  <si>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</si>
  <si>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</si>
  <si>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</si>
  <si>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</si>
  <si>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</si>
  <si>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</si>
  <si>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</si>
  <si>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</si>
  <si>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</si>
  <si>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</si>
  <si>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</si>
  <si>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</si>
  <si>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</si>
  <si>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</si>
  <si>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</si>
  <si>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</si>
  <si>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</si>
  <si>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</si>
  <si>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</si>
  <si>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</si>
  <si>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</si>
  <si>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</si>
  <si>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</si>
  <si>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</si>
  <si>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</si>
  <si>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</si>
  <si>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</si>
  <si>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</si>
  <si>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</si>
  <si>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</si>
  <si>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</si>
  <si>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</si>
  <si>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</si>
  <si>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</si>
  <si>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</si>
  <si>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</si>
  <si>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</si>
  <si>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</si>
  <si>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</si>
  <si>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</si>
  <si>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</si>
  <si>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</si>
  <si>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</si>
  <si>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</si>
  <si>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</si>
  <si>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</si>
  <si>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</si>
  <si>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</si>
  <si>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</si>
  <si>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</si>
  <si>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</si>
  <si>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</si>
  <si>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</si>
  <si>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</si>
  <si>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</si>
  <si>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</si>
  <si>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</si>
  <si>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</si>
  <si>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</si>
  <si>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</si>
  <si>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</si>
  <si>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</si>
  <si>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</si>
  <si>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</si>
  <si>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</si>
  <si>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</si>
  <si>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</si>
  <si>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</si>
  <si>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</si>
  <si>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</si>
  <si>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</si>
  <si>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</si>
  <si>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</si>
  <si>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</si>
  <si>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</si>
  <si>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</si>
  <si>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</si>
  <si>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</si>
  <si>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</si>
  <si>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Resultados del análisis de importación México → Nicaragua</t>
  </si>
  <si>
    <t>Importe total de la operación</t>
  </si>
  <si>
    <t>Importe (USD)</t>
  </si>
  <si>
    <t>Precio promedio de los productos</t>
  </si>
  <si>
    <t>Cantidad de productos registrados</t>
  </si>
  <si>
    <t>Importe correspondiente a productos de México</t>
  </si>
  <si>
    <t>Producto con mayor importe</t>
  </si>
  <si>
    <t>Importe del producto con mayor importe</t>
  </si>
  <si>
    <t>Cantidad total de unidades registradas</t>
  </si>
  <si>
    <t>Criterio</t>
  </si>
  <si>
    <t>Importe Alto</t>
  </si>
  <si>
    <t>Importe total por producto &gt; USD 1,000</t>
  </si>
  <si>
    <t>Importe Normal</t>
  </si>
  <si>
    <t>Importe total por producto ≤ USD 1,000</t>
  </si>
  <si>
    <t>Respuesta: ¿Por qué es importante analizar esta información antes de realizar una operación comercial?</t>
  </si>
  <si>
    <t>Porque permite conocer el valor de la operación, identificar los productos que concentran mayor importe, revisar cantidades y precios, y tomar decisiones con información ordenada antes de comprometer recursos.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</si>
</sst>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t>Importe por categoría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Resultados!E3</c:f>
              <c:strCache>
                <c:ptCount val="1"/>
                <c:pt idx="0">
                  <c:v>Importe (USD)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Resultados!$D$4:$D$10</c:f>
              <c:strCache>
                <c:ptCount val="7"/>
                <c:pt idx="0">
                  <c:v>Accesorios</c:v>
                </c:pt>
                <c:pt idx="1">
                  <c:v>Alimentos</c:v>
                </c:pt>
                <c:pt idx="2">
                  <c:v>Bebidas</c:v>
                </c:pt>
                <c:pt idx="3">
                  <c:v>Hogar</c:v>
                </c:pt>
                <c:pt idx="4">
                  <c:v>Limpieza</c:v>
                </c:pt>
                <c:pt idx="5">
                  <c:v>Oficina</c:v>
                </c:pt>
                <c:pt idx="6">
                  <c:v>Tecnología</c:v>
                </c:pt>
              </c:strCache>
            </c:strRef>
          </c:cat>
          <c:val>
            <c:numRef>
              <c:f>Resultados!$E$4:$E$10</c:f>
              <c:numCache>
                <c:formatCode>\$#,##0.00</c:formatCode>
                <c:ptCount val="7"/>
                <c:pt idx="0">
                  <c:v>9642</c:v>
                </c:pt>
                <c:pt idx="1">
                  <c:v>9464</c:v>
                </c:pt>
                <c:pt idx="2">
                  <c:v>2661.75</c:v>
                </c:pt>
                <c:pt idx="3">
                  <c:v>4945.5</c:v>
                </c:pt>
                <c:pt idx="4">
                  <c:v>3438.5</c:v>
                </c:pt>
                <c:pt idx="5">
                  <c:v>3803.5</c:v>
                </c:pt>
                <c:pt idx="6">
                  <c:v>6403.75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B-9D47-AC21-65474CECC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pane ySplit="1" topLeftCell="A2" activePane="bottomLeft" state="frozen"/>
      <selection pane="bottomLeft"/>
    </sheetView>
  </sheetViews>
  <sheetFormatPr defaultColWidth="8.875" defaultRowHeight="15" x14ac:dyDescent="0.2"/>
  <cols>
    <col min="1" max="1" width="4.03515625" style="1" bestFit="1" customWidth="1"/>
    <col min="2" max="2" width="8.33984375" style="1" bestFit="1" customWidth="1"/>
    <col min="3" max="3" width="17.75390625" bestFit="1" customWidth="1"/>
    <col min="4" max="4" width="9.81640625" bestFit="1" customWidth="1"/>
    <col min="5" max="5" width="10.35546875" style="1" bestFit="1" customWidth="1"/>
    <col min="6" max="6" width="8.609375" bestFit="1" customWidth="1"/>
    <col min="7" max="7" width="18.83203125" bestFit="1" customWidth="1"/>
    <col min="8" max="8" width="17.890625" bestFit="1" customWidth="1"/>
    <col min="9" max="9" width="20.04296875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3">
        <v>1</v>
      </c>
      <c r="B2" s="3" t="s">
        <v>9</v>
      </c>
      <c r="C2" s="4" t="s">
        <v>10</v>
      </c>
      <c r="D2" s="4" t="s">
        <v>11</v>
      </c>
      <c r="E2" s="3" t="s">
        <v>12</v>
      </c>
      <c r="F2" s="4">
        <v>120</v>
      </c>
      <c r="G2" s="5">
        <v>4.5</v>
      </c>
      <c r="H2" s="5">
        <f>F2*G2</f>
        <v>540</v>
      </c>
      <c r="I2" s="4" t="str">
        <f>IF(H2&gt;1000,"Importe Alto","Importe Normal")</f>
        <v>Importe Normal</v>
      </c>
    </row>
    <row r="3" spans="1:9" x14ac:dyDescent="0.2">
      <c r="A3" s="3">
        <v>2</v>
      </c>
      <c r="B3" s="3" t="s">
        <v>13</v>
      </c>
      <c r="C3" s="4" t="s">
        <v>14</v>
      </c>
      <c r="D3" s="4" t="s">
        <v>11</v>
      </c>
      <c r="E3" s="3" t="s">
        <v>12</v>
      </c>
      <c r="F3" s="4">
        <v>85</v>
      </c>
      <c r="G3" s="5">
        <v>8.75</v>
      </c>
      <c r="H3" s="5">
        <f>F3*G3</f>
        <v>743.75</v>
      </c>
      <c r="I3" s="4" t="str">
        <f>IF(H3&gt;1000,"Importe Alto","Importe Normal")</f>
        <v>Importe Normal</v>
      </c>
    </row>
    <row r="4" spans="1:9" x14ac:dyDescent="0.2">
      <c r="A4" s="3">
        <v>3</v>
      </c>
      <c r="B4" s="3" t="s">
        <v>15</v>
      </c>
      <c r="C4" s="4" t="s">
        <v>16</v>
      </c>
      <c r="D4" s="4" t="s">
        <v>11</v>
      </c>
      <c r="E4" s="3" t="s">
        <v>12</v>
      </c>
      <c r="F4" s="4">
        <v>150</v>
      </c>
      <c r="G4" s="5">
        <v>3.2</v>
      </c>
      <c r="H4" s="5">
        <f>F4*G4</f>
        <v>480</v>
      </c>
      <c r="I4" s="4" t="str">
        <f>IF(H4&gt;1000,"Importe Alto","Importe Normal")</f>
        <v>Importe Normal</v>
      </c>
    </row>
    <row r="5" spans="1:9" x14ac:dyDescent="0.2">
      <c r="A5" s="3">
        <v>4</v>
      </c>
      <c r="B5" s="3" t="s">
        <v>17</v>
      </c>
      <c r="C5" s="4" t="s">
        <v>18</v>
      </c>
      <c r="D5" s="4" t="s">
        <v>11</v>
      </c>
      <c r="E5" s="3" t="s">
        <v>12</v>
      </c>
      <c r="F5" s="4">
        <v>200</v>
      </c>
      <c r="G5" s="5">
        <v>2.85</v>
      </c>
      <c r="H5" s="5">
        <f>F5*G5</f>
        <v>570</v>
      </c>
      <c r="I5" s="4" t="str">
        <f>IF(H5&gt;1000,"Importe Alto","Importe Normal")</f>
        <v>Importe Normal</v>
      </c>
    </row>
    <row r="6" spans="1:9" x14ac:dyDescent="0.2">
      <c r="A6" s="3">
        <v>5</v>
      </c>
      <c r="B6" s="3" t="s">
        <v>19</v>
      </c>
      <c r="C6" s="4" t="s">
        <v>20</v>
      </c>
      <c r="D6" s="4" t="s">
        <v>11</v>
      </c>
      <c r="E6" s="3" t="s">
        <v>12</v>
      </c>
      <c r="F6" s="4">
        <v>180</v>
      </c>
      <c r="G6" s="5">
        <v>5.4</v>
      </c>
      <c r="H6" s="5">
        <f>F6*G6</f>
        <v>972.00000000000011</v>
      </c>
      <c r="I6" s="4" t="str">
        <f>IF(H6&gt;1000,"Importe Alto","Importe Normal")</f>
        <v>Importe Normal</v>
      </c>
    </row>
    <row r="7" spans="1:9" x14ac:dyDescent="0.2">
      <c r="A7" s="3">
        <v>6</v>
      </c>
      <c r="B7" s="3" t="s">
        <v>21</v>
      </c>
      <c r="C7" s="4" t="s">
        <v>22</v>
      </c>
      <c r="D7" s="4" t="s">
        <v>11</v>
      </c>
      <c r="E7" s="3" t="s">
        <v>12</v>
      </c>
      <c r="F7" s="4">
        <v>95</v>
      </c>
      <c r="G7" s="5">
        <v>6.8</v>
      </c>
      <c r="H7" s="5">
        <f>F7*G7</f>
        <v>646</v>
      </c>
      <c r="I7" s="4" t="str">
        <f>IF(H7&gt;1000,"Importe Alto","Importe Normal")</f>
        <v>Importe Normal</v>
      </c>
    </row>
    <row r="8" spans="1:9" x14ac:dyDescent="0.2">
      <c r="A8" s="3">
        <v>7</v>
      </c>
      <c r="B8" s="3" t="s">
        <v>23</v>
      </c>
      <c r="C8" s="4" t="s">
        <v>24</v>
      </c>
      <c r="D8" s="4" t="s">
        <v>11</v>
      </c>
      <c r="E8" s="3" t="s">
        <v>12</v>
      </c>
      <c r="F8" s="4">
        <v>110</v>
      </c>
      <c r="G8" s="5">
        <v>9.5</v>
      </c>
      <c r="H8" s="5">
        <f>F8*G8</f>
        <v>1045</v>
      </c>
      <c r="I8" s="4" t="str">
        <f>IF(H8&gt;1000,"Importe Alto","Importe Normal")</f>
        <v>Importe Alto</v>
      </c>
    </row>
    <row r="9" spans="1:9" x14ac:dyDescent="0.2">
      <c r="A9" s="3">
        <v>8</v>
      </c>
      <c r="B9" s="3" t="s">
        <v>25</v>
      </c>
      <c r="C9" s="4" t="s">
        <v>26</v>
      </c>
      <c r="D9" s="4" t="s">
        <v>11</v>
      </c>
      <c r="E9" s="3" t="s">
        <v>12</v>
      </c>
      <c r="F9" s="4">
        <v>160</v>
      </c>
      <c r="G9" s="5">
        <v>3.75</v>
      </c>
      <c r="H9" s="5">
        <f>F9*G9</f>
        <v>600</v>
      </c>
      <c r="I9" s="4" t="str">
        <f>IF(H9&gt;1000,"Importe Alto","Importe Normal")</f>
        <v>Importe Normal</v>
      </c>
    </row>
    <row r="10" spans="1:9" x14ac:dyDescent="0.2">
      <c r="A10" s="3">
        <v>9</v>
      </c>
      <c r="B10" s="3" t="s">
        <v>27</v>
      </c>
      <c r="C10" s="4" t="s">
        <v>28</v>
      </c>
      <c r="D10" s="4" t="s">
        <v>11</v>
      </c>
      <c r="E10" s="3" t="s">
        <v>12</v>
      </c>
      <c r="F10" s="4">
        <v>130</v>
      </c>
      <c r="G10" s="5">
        <v>4.25</v>
      </c>
      <c r="H10" s="5">
        <f>F10*G10</f>
        <v>552.5</v>
      </c>
      <c r="I10" s="4" t="str">
        <f>IF(H10&gt;1000,"Importe Alto","Importe Normal")</f>
        <v>Importe Normal</v>
      </c>
    </row>
    <row r="11" spans="1:9" x14ac:dyDescent="0.2">
      <c r="A11" s="3">
        <v>10</v>
      </c>
      <c r="B11" s="3" t="s">
        <v>29</v>
      </c>
      <c r="C11" s="4" t="s">
        <v>30</v>
      </c>
      <c r="D11" s="4" t="s">
        <v>11</v>
      </c>
      <c r="E11" s="3" t="s">
        <v>12</v>
      </c>
      <c r="F11" s="4">
        <v>90</v>
      </c>
      <c r="G11" s="5">
        <v>5.6</v>
      </c>
      <c r="H11" s="5">
        <f>F11*G11</f>
        <v>503.99999999999994</v>
      </c>
      <c r="I11" s="4" t="str">
        <f>IF(H11&gt;1000,"Importe Alto","Importe Normal")</f>
        <v>Importe Normal</v>
      </c>
    </row>
    <row r="12" spans="1:9" x14ac:dyDescent="0.2">
      <c r="A12" s="3">
        <v>11</v>
      </c>
      <c r="B12" s="3" t="s">
        <v>31</v>
      </c>
      <c r="C12" s="4" t="s">
        <v>32</v>
      </c>
      <c r="D12" s="4" t="s">
        <v>11</v>
      </c>
      <c r="E12" s="3" t="s">
        <v>12</v>
      </c>
      <c r="F12" s="4">
        <v>75</v>
      </c>
      <c r="G12" s="5">
        <v>7.25</v>
      </c>
      <c r="H12" s="5">
        <f>F12*G12</f>
        <v>543.75</v>
      </c>
      <c r="I12" s="4" t="str">
        <f>IF(H12&gt;1000,"Importe Alto","Importe Normal")</f>
        <v>Importe Normal</v>
      </c>
    </row>
    <row r="13" spans="1:9" x14ac:dyDescent="0.2">
      <c r="A13" s="3">
        <v>12</v>
      </c>
      <c r="B13" s="3" t="s">
        <v>33</v>
      </c>
      <c r="C13" s="4" t="s">
        <v>34</v>
      </c>
      <c r="D13" s="4" t="s">
        <v>11</v>
      </c>
      <c r="E13" s="3" t="s">
        <v>12</v>
      </c>
      <c r="F13" s="4">
        <v>220</v>
      </c>
      <c r="G13" s="5">
        <v>2.9</v>
      </c>
      <c r="H13" s="5">
        <f>F13*G13</f>
        <v>638</v>
      </c>
      <c r="I13" s="4" t="str">
        <f>IF(H13&gt;1000,"Importe Alto","Importe Normal")</f>
        <v>Importe Normal</v>
      </c>
    </row>
    <row r="14" spans="1:9" x14ac:dyDescent="0.2">
      <c r="A14" s="3">
        <v>13</v>
      </c>
      <c r="B14" s="3" t="s">
        <v>35</v>
      </c>
      <c r="C14" s="4" t="s">
        <v>36</v>
      </c>
      <c r="D14" s="4" t="s">
        <v>11</v>
      </c>
      <c r="E14" s="3" t="s">
        <v>12</v>
      </c>
      <c r="F14" s="4">
        <v>250</v>
      </c>
      <c r="G14" s="5">
        <v>2.4</v>
      </c>
      <c r="H14" s="5">
        <f>F14*G14</f>
        <v>600</v>
      </c>
      <c r="I14" s="4" t="str">
        <f>IF(H14&gt;1000,"Importe Alto","Importe Normal")</f>
        <v>Importe Normal</v>
      </c>
    </row>
    <row r="15" spans="1:9" x14ac:dyDescent="0.2">
      <c r="A15" s="3">
        <v>14</v>
      </c>
      <c r="B15" s="3" t="s">
        <v>37</v>
      </c>
      <c r="C15" s="4" t="s">
        <v>38</v>
      </c>
      <c r="D15" s="4" t="s">
        <v>11</v>
      </c>
      <c r="E15" s="3" t="s">
        <v>12</v>
      </c>
      <c r="F15" s="4">
        <v>140</v>
      </c>
      <c r="G15" s="5">
        <v>3.85</v>
      </c>
      <c r="H15" s="5">
        <f>F15*G15</f>
        <v>539</v>
      </c>
      <c r="I15" s="4" t="str">
        <f>IF(H15&gt;1000,"Importe Alto","Importe Normal")</f>
        <v>Importe Normal</v>
      </c>
    </row>
    <row r="16" spans="1:9" x14ac:dyDescent="0.2">
      <c r="A16" s="3">
        <v>15</v>
      </c>
      <c r="B16" s="3" t="s">
        <v>39</v>
      </c>
      <c r="C16" s="4" t="s">
        <v>40</v>
      </c>
      <c r="D16" s="4" t="s">
        <v>11</v>
      </c>
      <c r="E16" s="3" t="s">
        <v>12</v>
      </c>
      <c r="F16" s="4">
        <v>100</v>
      </c>
      <c r="G16" s="5">
        <v>4.9000000000000004</v>
      </c>
      <c r="H16" s="5">
        <f>F16*G16</f>
        <v>490.00000000000006</v>
      </c>
      <c r="I16" s="4" t="str">
        <f>IF(H16&gt;1000,"Importe Alto","Importe Normal")</f>
        <v>Importe Normal</v>
      </c>
    </row>
    <row r="17" spans="1:9" x14ac:dyDescent="0.2">
      <c r="A17" s="3">
        <v>16</v>
      </c>
      <c r="B17" s="3" t="s">
        <v>41</v>
      </c>
      <c r="C17" s="4" t="s">
        <v>42</v>
      </c>
      <c r="D17" s="4" t="s">
        <v>43</v>
      </c>
      <c r="E17" s="3" t="s">
        <v>12</v>
      </c>
      <c r="F17" s="4">
        <v>180</v>
      </c>
      <c r="G17" s="5">
        <v>3.6</v>
      </c>
      <c r="H17" s="5">
        <f>F17*G17</f>
        <v>648</v>
      </c>
      <c r="I17" s="4" t="str">
        <f>IF(H17&gt;1000,"Importe Alto","Importe Normal")</f>
        <v>Importe Normal</v>
      </c>
    </row>
    <row r="18" spans="1:9" x14ac:dyDescent="0.2">
      <c r="A18" s="3">
        <v>17</v>
      </c>
      <c r="B18" s="3" t="s">
        <v>44</v>
      </c>
      <c r="C18" s="4" t="s">
        <v>45</v>
      </c>
      <c r="D18" s="4" t="s">
        <v>43</v>
      </c>
      <c r="E18" s="3" t="s">
        <v>12</v>
      </c>
      <c r="F18" s="4">
        <v>160</v>
      </c>
      <c r="G18" s="5">
        <v>3.25</v>
      </c>
      <c r="H18" s="5">
        <f>F18*G18</f>
        <v>520</v>
      </c>
      <c r="I18" s="4" t="str">
        <f>IF(H18&gt;1000,"Importe Alto","Importe Normal")</f>
        <v>Importe Normal</v>
      </c>
    </row>
    <row r="19" spans="1:9" x14ac:dyDescent="0.2">
      <c r="A19" s="3">
        <v>18</v>
      </c>
      <c r="B19" s="3" t="s">
        <v>46</v>
      </c>
      <c r="C19" s="4" t="s">
        <v>47</v>
      </c>
      <c r="D19" s="4" t="s">
        <v>43</v>
      </c>
      <c r="E19" s="3" t="s">
        <v>12</v>
      </c>
      <c r="F19" s="4">
        <v>300</v>
      </c>
      <c r="G19" s="5">
        <v>1.8</v>
      </c>
      <c r="H19" s="5">
        <f>F19*G19</f>
        <v>540</v>
      </c>
      <c r="I19" s="4" t="str">
        <f>IF(H19&gt;1000,"Importe Alto","Importe Normal")</f>
        <v>Importe Normal</v>
      </c>
    </row>
    <row r="20" spans="1:9" x14ac:dyDescent="0.2">
      <c r="A20" s="3">
        <v>19</v>
      </c>
      <c r="B20" s="3" t="s">
        <v>48</v>
      </c>
      <c r="C20" s="4" t="s">
        <v>49</v>
      </c>
      <c r="D20" s="4" t="s">
        <v>43</v>
      </c>
      <c r="E20" s="3" t="s">
        <v>12</v>
      </c>
      <c r="F20" s="4">
        <v>80</v>
      </c>
      <c r="G20" s="5">
        <v>5.75</v>
      </c>
      <c r="H20" s="5">
        <f>F20*G20</f>
        <v>460</v>
      </c>
      <c r="I20" s="4" t="str">
        <f>IF(H20&gt;1000,"Importe Alto","Importe Normal")</f>
        <v>Importe Normal</v>
      </c>
    </row>
    <row r="21" spans="1:9" x14ac:dyDescent="0.2">
      <c r="A21" s="3">
        <v>20</v>
      </c>
      <c r="B21" s="3" t="s">
        <v>50</v>
      </c>
      <c r="C21" s="4" t="s">
        <v>51</v>
      </c>
      <c r="D21" s="4" t="s">
        <v>43</v>
      </c>
      <c r="E21" s="3" t="s">
        <v>12</v>
      </c>
      <c r="F21" s="4">
        <v>125</v>
      </c>
      <c r="G21" s="5">
        <v>3.95</v>
      </c>
      <c r="H21" s="5">
        <f>F21*G21</f>
        <v>493.75</v>
      </c>
      <c r="I21" s="4" t="str">
        <f>IF(H21&gt;1000,"Importe Alto","Importe Normal")</f>
        <v>Importe Normal</v>
      </c>
    </row>
    <row r="22" spans="1:9" x14ac:dyDescent="0.2">
      <c r="A22" s="3">
        <v>21</v>
      </c>
      <c r="B22" s="3" t="s">
        <v>52</v>
      </c>
      <c r="C22" s="4" t="s">
        <v>53</v>
      </c>
      <c r="D22" s="4" t="s">
        <v>54</v>
      </c>
      <c r="E22" s="3" t="s">
        <v>12</v>
      </c>
      <c r="F22" s="4">
        <v>90</v>
      </c>
      <c r="G22" s="5">
        <v>8.5</v>
      </c>
      <c r="H22" s="5">
        <f>F22*G22</f>
        <v>765</v>
      </c>
      <c r="I22" s="4" t="str">
        <f>IF(H22&gt;1000,"Importe Alto","Importe Normal")</f>
        <v>Importe Normal</v>
      </c>
    </row>
    <row r="23" spans="1:9" x14ac:dyDescent="0.2">
      <c r="A23" s="3">
        <v>22</v>
      </c>
      <c r="B23" s="3" t="s">
        <v>55</v>
      </c>
      <c r="C23" s="4" t="s">
        <v>56</v>
      </c>
      <c r="D23" s="4" t="s">
        <v>54</v>
      </c>
      <c r="E23" s="3" t="s">
        <v>12</v>
      </c>
      <c r="F23" s="4">
        <v>150</v>
      </c>
      <c r="G23" s="5">
        <v>4.8</v>
      </c>
      <c r="H23" s="5">
        <f>F23*G23</f>
        <v>720</v>
      </c>
      <c r="I23" s="4" t="str">
        <f>IF(H23&gt;1000,"Importe Alto","Importe Normal")</f>
        <v>Importe Normal</v>
      </c>
    </row>
    <row r="24" spans="1:9" x14ac:dyDescent="0.2">
      <c r="A24" s="3">
        <v>23</v>
      </c>
      <c r="B24" s="3" t="s">
        <v>57</v>
      </c>
      <c r="C24" s="4" t="s">
        <v>58</v>
      </c>
      <c r="D24" s="4" t="s">
        <v>54</v>
      </c>
      <c r="E24" s="3" t="s">
        <v>12</v>
      </c>
      <c r="F24" s="4">
        <v>130</v>
      </c>
      <c r="G24" s="5">
        <v>5.25</v>
      </c>
      <c r="H24" s="5">
        <f>F24*G24</f>
        <v>682.5</v>
      </c>
      <c r="I24" s="4" t="str">
        <f>IF(H24&gt;1000,"Importe Alto","Importe Normal")</f>
        <v>Importe Normal</v>
      </c>
    </row>
    <row r="25" spans="1:9" x14ac:dyDescent="0.2">
      <c r="A25" s="3">
        <v>24</v>
      </c>
      <c r="B25" s="3" t="s">
        <v>59</v>
      </c>
      <c r="C25" s="4" t="s">
        <v>60</v>
      </c>
      <c r="D25" s="4" t="s">
        <v>54</v>
      </c>
      <c r="E25" s="3" t="s">
        <v>12</v>
      </c>
      <c r="F25" s="4">
        <v>180</v>
      </c>
      <c r="G25" s="5">
        <v>2.95</v>
      </c>
      <c r="H25" s="5">
        <f>F25*G25</f>
        <v>531</v>
      </c>
      <c r="I25" s="4" t="str">
        <f>IF(H25&gt;1000,"Importe Alto","Importe Normal")</f>
        <v>Importe Normal</v>
      </c>
    </row>
    <row r="26" spans="1:9" x14ac:dyDescent="0.2">
      <c r="A26" s="3">
        <v>25</v>
      </c>
      <c r="B26" s="3" t="s">
        <v>61</v>
      </c>
      <c r="C26" s="4" t="s">
        <v>62</v>
      </c>
      <c r="D26" s="4" t="s">
        <v>54</v>
      </c>
      <c r="E26" s="3" t="s">
        <v>12</v>
      </c>
      <c r="F26" s="4">
        <v>100</v>
      </c>
      <c r="G26" s="5">
        <v>7.4</v>
      </c>
      <c r="H26" s="5">
        <f>F26*G26</f>
        <v>740</v>
      </c>
      <c r="I26" s="4" t="str">
        <f>IF(H26&gt;1000,"Importe Alto","Importe Normal")</f>
        <v>Importe Normal</v>
      </c>
    </row>
    <row r="27" spans="1:9" x14ac:dyDescent="0.2">
      <c r="A27" s="3">
        <v>26</v>
      </c>
      <c r="B27" s="3" t="s">
        <v>63</v>
      </c>
      <c r="C27" s="4" t="s">
        <v>64</v>
      </c>
      <c r="D27" s="4" t="s">
        <v>65</v>
      </c>
      <c r="E27" s="3" t="s">
        <v>12</v>
      </c>
      <c r="F27" s="4">
        <v>200</v>
      </c>
      <c r="G27" s="5">
        <v>6.25</v>
      </c>
      <c r="H27" s="5">
        <f>F27*G27</f>
        <v>1250</v>
      </c>
      <c r="I27" s="4" t="str">
        <f>IF(H27&gt;1000,"Importe Alto","Importe Normal")</f>
        <v>Importe Alto</v>
      </c>
    </row>
    <row r="28" spans="1:9" x14ac:dyDescent="0.2">
      <c r="A28" s="3">
        <v>27</v>
      </c>
      <c r="B28" s="3" t="s">
        <v>66</v>
      </c>
      <c r="C28" s="4" t="s">
        <v>67</v>
      </c>
      <c r="D28" s="4" t="s">
        <v>65</v>
      </c>
      <c r="E28" s="3" t="s">
        <v>12</v>
      </c>
      <c r="F28" s="4">
        <v>175</v>
      </c>
      <c r="G28" s="5">
        <v>3.5</v>
      </c>
      <c r="H28" s="5">
        <f>F28*G28</f>
        <v>612.5</v>
      </c>
      <c r="I28" s="4" t="str">
        <f>IF(H28&gt;1000,"Importe Alto","Importe Normal")</f>
        <v>Importe Normal</v>
      </c>
    </row>
    <row r="29" spans="1:9" x14ac:dyDescent="0.2">
      <c r="A29" s="3">
        <v>28</v>
      </c>
      <c r="B29" s="3" t="s">
        <v>68</v>
      </c>
      <c r="C29" s="4" t="s">
        <v>69</v>
      </c>
      <c r="D29" s="4" t="s">
        <v>65</v>
      </c>
      <c r="E29" s="3" t="s">
        <v>12</v>
      </c>
      <c r="F29" s="4">
        <v>120</v>
      </c>
      <c r="G29" s="5">
        <v>4.5999999999999996</v>
      </c>
      <c r="H29" s="5">
        <f>F29*G29</f>
        <v>552</v>
      </c>
      <c r="I29" s="4" t="str">
        <f>IF(H29&gt;1000,"Importe Alto","Importe Normal")</f>
        <v>Importe Normal</v>
      </c>
    </row>
    <row r="30" spans="1:9" x14ac:dyDescent="0.2">
      <c r="A30" s="3">
        <v>29</v>
      </c>
      <c r="B30" s="3" t="s">
        <v>70</v>
      </c>
      <c r="C30" s="4" t="s">
        <v>71</v>
      </c>
      <c r="D30" s="4" t="s">
        <v>65</v>
      </c>
      <c r="E30" s="3" t="s">
        <v>12</v>
      </c>
      <c r="F30" s="4">
        <v>140</v>
      </c>
      <c r="G30" s="5">
        <v>5.15</v>
      </c>
      <c r="H30" s="5">
        <f>F30*G30</f>
        <v>721</v>
      </c>
      <c r="I30" s="4" t="str">
        <f>IF(H30&gt;1000,"Importe Alto","Importe Normal")</f>
        <v>Importe Normal</v>
      </c>
    </row>
    <row r="31" spans="1:9" x14ac:dyDescent="0.2">
      <c r="A31" s="3">
        <v>30</v>
      </c>
      <c r="B31" s="3" t="s">
        <v>72</v>
      </c>
      <c r="C31" s="4" t="s">
        <v>73</v>
      </c>
      <c r="D31" s="4" t="s">
        <v>65</v>
      </c>
      <c r="E31" s="3" t="s">
        <v>12</v>
      </c>
      <c r="F31" s="4">
        <v>160</v>
      </c>
      <c r="G31" s="5">
        <v>4.75</v>
      </c>
      <c r="H31" s="5">
        <f>F31*G31</f>
        <v>760</v>
      </c>
      <c r="I31" s="4" t="str">
        <f>IF(H31&gt;1000,"Importe Alto","Importe Normal")</f>
        <v>Importe Normal</v>
      </c>
    </row>
    <row r="32" spans="1:9" x14ac:dyDescent="0.2">
      <c r="A32" s="3">
        <v>31</v>
      </c>
      <c r="B32" s="3" t="s">
        <v>74</v>
      </c>
      <c r="C32" s="4" t="s">
        <v>75</v>
      </c>
      <c r="D32" s="4" t="s">
        <v>76</v>
      </c>
      <c r="E32" s="3" t="s">
        <v>12</v>
      </c>
      <c r="F32" s="4">
        <v>250</v>
      </c>
      <c r="G32" s="5">
        <v>2.75</v>
      </c>
      <c r="H32" s="5">
        <f>F32*G32</f>
        <v>687.5</v>
      </c>
      <c r="I32" s="4" t="str">
        <f>IF(H32&gt;1000,"Importe Alto","Importe Normal")</f>
        <v>Importe Normal</v>
      </c>
    </row>
    <row r="33" spans="1:9" x14ac:dyDescent="0.2">
      <c r="A33" s="3">
        <v>32</v>
      </c>
      <c r="B33" s="3" t="s">
        <v>77</v>
      </c>
      <c r="C33" s="4" t="s">
        <v>78</v>
      </c>
      <c r="D33" s="4" t="s">
        <v>76</v>
      </c>
      <c r="E33" s="3" t="s">
        <v>12</v>
      </c>
      <c r="F33" s="4">
        <v>180</v>
      </c>
      <c r="G33" s="5">
        <v>3.2</v>
      </c>
      <c r="H33" s="5">
        <f>F33*G33</f>
        <v>576</v>
      </c>
      <c r="I33" s="4" t="str">
        <f>IF(H33&gt;1000,"Importe Alto","Importe Normal")</f>
        <v>Importe Normal</v>
      </c>
    </row>
    <row r="34" spans="1:9" x14ac:dyDescent="0.2">
      <c r="A34" s="3">
        <v>33</v>
      </c>
      <c r="B34" s="3" t="s">
        <v>79</v>
      </c>
      <c r="C34" s="4" t="s">
        <v>80</v>
      </c>
      <c r="D34" s="4" t="s">
        <v>76</v>
      </c>
      <c r="E34" s="3" t="s">
        <v>12</v>
      </c>
      <c r="F34" s="4">
        <v>300</v>
      </c>
      <c r="G34" s="5">
        <v>1.5</v>
      </c>
      <c r="H34" s="5">
        <f>F34*G34</f>
        <v>450</v>
      </c>
      <c r="I34" s="4" t="str">
        <f>IF(H34&gt;1000,"Importe Alto","Importe Normal")</f>
        <v>Importe Normal</v>
      </c>
    </row>
    <row r="35" spans="1:9" x14ac:dyDescent="0.2">
      <c r="A35" s="3">
        <v>34</v>
      </c>
      <c r="B35" s="3" t="s">
        <v>81</v>
      </c>
      <c r="C35" s="4" t="s">
        <v>82</v>
      </c>
      <c r="D35" s="4" t="s">
        <v>76</v>
      </c>
      <c r="E35" s="3" t="s">
        <v>12</v>
      </c>
      <c r="F35" s="4">
        <v>150</v>
      </c>
      <c r="G35" s="5">
        <v>2.9</v>
      </c>
      <c r="H35" s="5">
        <f>F35*G35</f>
        <v>435</v>
      </c>
      <c r="I35" s="4" t="str">
        <f>IF(H35&gt;1000,"Importe Alto","Importe Normal")</f>
        <v>Importe Normal</v>
      </c>
    </row>
    <row r="36" spans="1:9" x14ac:dyDescent="0.2">
      <c r="A36" s="3">
        <v>35</v>
      </c>
      <c r="B36" s="3" t="s">
        <v>83</v>
      </c>
      <c r="C36" s="4" t="s">
        <v>84</v>
      </c>
      <c r="D36" s="4" t="s">
        <v>76</v>
      </c>
      <c r="E36" s="3" t="s">
        <v>12</v>
      </c>
      <c r="F36" s="4">
        <v>100</v>
      </c>
      <c r="G36" s="5">
        <v>7.8</v>
      </c>
      <c r="H36" s="5">
        <f>F36*G36</f>
        <v>780</v>
      </c>
      <c r="I36" s="4" t="str">
        <f>IF(H36&gt;1000,"Importe Alto","Importe Normal")</f>
        <v>Importe Normal</v>
      </c>
    </row>
    <row r="37" spans="1:9" x14ac:dyDescent="0.2">
      <c r="A37" s="3">
        <v>36</v>
      </c>
      <c r="B37" s="3" t="s">
        <v>85</v>
      </c>
      <c r="C37" s="4" t="s">
        <v>86</v>
      </c>
      <c r="D37" s="4" t="s">
        <v>76</v>
      </c>
      <c r="E37" s="3" t="s">
        <v>12</v>
      </c>
      <c r="F37" s="4">
        <v>70</v>
      </c>
      <c r="G37" s="5">
        <v>12.5</v>
      </c>
      <c r="H37" s="5">
        <f>F37*G37</f>
        <v>875</v>
      </c>
      <c r="I37" s="4" t="str">
        <f>IF(H37&gt;1000,"Importe Alto","Importe Normal")</f>
        <v>Importe Normal</v>
      </c>
    </row>
    <row r="38" spans="1:9" x14ac:dyDescent="0.2">
      <c r="A38" s="3">
        <v>37</v>
      </c>
      <c r="B38" s="3" t="s">
        <v>87</v>
      </c>
      <c r="C38" s="4" t="s">
        <v>88</v>
      </c>
      <c r="D38" s="4" t="s">
        <v>89</v>
      </c>
      <c r="E38" s="3" t="s">
        <v>12</v>
      </c>
      <c r="F38" s="4">
        <v>80</v>
      </c>
      <c r="G38" s="5">
        <v>11.75</v>
      </c>
      <c r="H38" s="5">
        <f>F38*G38</f>
        <v>940</v>
      </c>
      <c r="I38" s="4" t="str">
        <f>IF(H38&gt;1000,"Importe Alto","Importe Normal")</f>
        <v>Importe Normal</v>
      </c>
    </row>
    <row r="39" spans="1:9" x14ac:dyDescent="0.2">
      <c r="A39" s="3">
        <v>38</v>
      </c>
      <c r="B39" s="3" t="s">
        <v>90</v>
      </c>
      <c r="C39" s="4" t="s">
        <v>91</v>
      </c>
      <c r="D39" s="4" t="s">
        <v>89</v>
      </c>
      <c r="E39" s="3" t="s">
        <v>12</v>
      </c>
      <c r="F39" s="4">
        <v>60</v>
      </c>
      <c r="G39" s="5">
        <v>15.5</v>
      </c>
      <c r="H39" s="5">
        <f>F39*G39</f>
        <v>930</v>
      </c>
      <c r="I39" s="4" t="str">
        <f>IF(H39&gt;1000,"Importe Alto","Importe Normal")</f>
        <v>Importe Normal</v>
      </c>
    </row>
    <row r="40" spans="1:9" x14ac:dyDescent="0.2">
      <c r="A40" s="3">
        <v>39</v>
      </c>
      <c r="B40" s="3" t="s">
        <v>92</v>
      </c>
      <c r="C40" s="4" t="s">
        <v>93</v>
      </c>
      <c r="D40" s="4" t="s">
        <v>89</v>
      </c>
      <c r="E40" s="3" t="s">
        <v>12</v>
      </c>
      <c r="F40" s="4">
        <v>75</v>
      </c>
      <c r="G40" s="5">
        <v>13.25</v>
      </c>
      <c r="H40" s="5">
        <f>F40*G40</f>
        <v>993.75</v>
      </c>
      <c r="I40" s="4" t="str">
        <f>IF(H40&gt;1000,"Importe Alto","Importe Normal")</f>
        <v>Importe Normal</v>
      </c>
    </row>
    <row r="41" spans="1:9" x14ac:dyDescent="0.2">
      <c r="A41" s="3">
        <v>40</v>
      </c>
      <c r="B41" s="3" t="s">
        <v>94</v>
      </c>
      <c r="C41" s="4" t="s">
        <v>95</v>
      </c>
      <c r="D41" s="4" t="s">
        <v>89</v>
      </c>
      <c r="E41" s="3" t="s">
        <v>12</v>
      </c>
      <c r="F41" s="4">
        <v>90</v>
      </c>
      <c r="G41" s="5">
        <v>18.5</v>
      </c>
      <c r="H41" s="5">
        <f>F41*G41</f>
        <v>1665</v>
      </c>
      <c r="I41" s="4" t="str">
        <f>IF(H41&gt;1000,"Importe Alto","Importe Normal")</f>
        <v>Importe Alto</v>
      </c>
    </row>
    <row r="42" spans="1:9" x14ac:dyDescent="0.2">
      <c r="A42" s="3">
        <v>41</v>
      </c>
      <c r="B42" s="3" t="s">
        <v>96</v>
      </c>
      <c r="C42" s="4" t="s">
        <v>97</v>
      </c>
      <c r="D42" s="4" t="s">
        <v>89</v>
      </c>
      <c r="E42" s="3" t="s">
        <v>12</v>
      </c>
      <c r="F42" s="4">
        <v>100</v>
      </c>
      <c r="G42" s="5">
        <v>9.75</v>
      </c>
      <c r="H42" s="5">
        <f>F42*G42</f>
        <v>975</v>
      </c>
      <c r="I42" s="4" t="str">
        <f>IF(H42&gt;1000,"Importe Alto","Importe Normal")</f>
        <v>Importe Normal</v>
      </c>
    </row>
    <row r="43" spans="1:9" x14ac:dyDescent="0.2">
      <c r="A43" s="3">
        <v>42</v>
      </c>
      <c r="B43" s="3" t="s">
        <v>98</v>
      </c>
      <c r="C43" s="4" t="s">
        <v>99</v>
      </c>
      <c r="D43" s="4" t="s">
        <v>89</v>
      </c>
      <c r="E43" s="3" t="s">
        <v>12</v>
      </c>
      <c r="F43" s="4">
        <v>120</v>
      </c>
      <c r="G43" s="5">
        <v>7.5</v>
      </c>
      <c r="H43" s="5">
        <f>F43*G43</f>
        <v>900</v>
      </c>
      <c r="I43" s="4" t="str">
        <f>IF(H43&gt;1000,"Importe Alto","Importe Normal")</f>
        <v>Importe Normal</v>
      </c>
    </row>
    <row r="44" spans="1:9" x14ac:dyDescent="0.2">
      <c r="A44" s="3">
        <v>43</v>
      </c>
      <c r="B44" s="3" t="s">
        <v>100</v>
      </c>
      <c r="C44" s="4" t="s">
        <v>101</v>
      </c>
      <c r="D44" s="4" t="s">
        <v>102</v>
      </c>
      <c r="E44" s="3" t="s">
        <v>12</v>
      </c>
      <c r="F44" s="4">
        <v>85</v>
      </c>
      <c r="G44" s="5">
        <v>22.5</v>
      </c>
      <c r="H44" s="5">
        <f>F44*G44</f>
        <v>1912.5</v>
      </c>
      <c r="I44" s="4" t="str">
        <f>IF(H44&gt;1000,"Importe Alto","Importe Normal")</f>
        <v>Importe Alto</v>
      </c>
    </row>
    <row r="45" spans="1:9" x14ac:dyDescent="0.2">
      <c r="A45" s="3">
        <v>44</v>
      </c>
      <c r="B45" s="3" t="s">
        <v>103</v>
      </c>
      <c r="C45" s="4" t="s">
        <v>104</v>
      </c>
      <c r="D45" s="4" t="s">
        <v>102</v>
      </c>
      <c r="E45" s="3" t="s">
        <v>12</v>
      </c>
      <c r="F45" s="4">
        <v>60</v>
      </c>
      <c r="G45" s="5">
        <v>28</v>
      </c>
      <c r="H45" s="5">
        <f>F45*G45</f>
        <v>1680</v>
      </c>
      <c r="I45" s="4" t="str">
        <f>IF(H45&gt;1000,"Importe Alto","Importe Normal")</f>
        <v>Importe Alto</v>
      </c>
    </row>
    <row r="46" spans="1:9" x14ac:dyDescent="0.2">
      <c r="A46" s="3">
        <v>45</v>
      </c>
      <c r="B46" s="3" t="s">
        <v>105</v>
      </c>
      <c r="C46" s="4" t="s">
        <v>106</v>
      </c>
      <c r="D46" s="4" t="s">
        <v>102</v>
      </c>
      <c r="E46" s="3" t="s">
        <v>107</v>
      </c>
      <c r="F46" s="4">
        <v>120</v>
      </c>
      <c r="G46" s="5">
        <v>8.75</v>
      </c>
      <c r="H46" s="5">
        <f>F46*G46</f>
        <v>1050</v>
      </c>
      <c r="I46" s="4" t="str">
        <f>IF(H46&gt;1000,"Importe Alto","Importe Normal")</f>
        <v>Importe Alto</v>
      </c>
    </row>
    <row r="47" spans="1:9" x14ac:dyDescent="0.2">
      <c r="A47" s="3">
        <v>46</v>
      </c>
      <c r="B47" s="3" t="s">
        <v>108</v>
      </c>
      <c r="C47" s="4" t="s">
        <v>109</v>
      </c>
      <c r="D47" s="4" t="s">
        <v>102</v>
      </c>
      <c r="E47" s="3" t="s">
        <v>110</v>
      </c>
      <c r="F47" s="4">
        <v>90</v>
      </c>
      <c r="G47" s="5">
        <v>12.8</v>
      </c>
      <c r="H47" s="5">
        <f>F47*G47</f>
        <v>1152</v>
      </c>
      <c r="I47" s="4" t="str">
        <f>IF(H47&gt;1000,"Importe Alto","Importe Normal")</f>
        <v>Importe Alto</v>
      </c>
    </row>
    <row r="48" spans="1:9" x14ac:dyDescent="0.2">
      <c r="A48" s="3">
        <v>47</v>
      </c>
      <c r="B48" s="3" t="s">
        <v>111</v>
      </c>
      <c r="C48" s="4" t="s">
        <v>112</v>
      </c>
      <c r="D48" s="4" t="s">
        <v>102</v>
      </c>
      <c r="E48" s="3" t="s">
        <v>113</v>
      </c>
      <c r="F48" s="4">
        <v>75</v>
      </c>
      <c r="G48" s="5">
        <v>16.5</v>
      </c>
      <c r="H48" s="5">
        <f>F48*G48</f>
        <v>1237.5</v>
      </c>
      <c r="I48" s="4" t="str">
        <f>IF(H48&gt;1000,"Importe Alto","Importe Normal")</f>
        <v>Importe Alto</v>
      </c>
    </row>
    <row r="49" spans="1:9" x14ac:dyDescent="0.2">
      <c r="A49" s="3">
        <v>48</v>
      </c>
      <c r="B49" s="3" t="s">
        <v>114</v>
      </c>
      <c r="C49" s="4" t="s">
        <v>115</v>
      </c>
      <c r="D49" s="4" t="s">
        <v>102</v>
      </c>
      <c r="E49" s="3" t="s">
        <v>12</v>
      </c>
      <c r="F49" s="4">
        <v>110</v>
      </c>
      <c r="G49" s="5">
        <v>9.25</v>
      </c>
      <c r="H49" s="5">
        <f>F49*G49</f>
        <v>1017.5</v>
      </c>
      <c r="I49" s="4" t="str">
        <f>IF(H49&gt;1000,"Importe Alto","Importe Normal")</f>
        <v>Importe Alto</v>
      </c>
    </row>
    <row r="50" spans="1:9" x14ac:dyDescent="0.2">
      <c r="A50" s="3">
        <v>49</v>
      </c>
      <c r="B50" s="3" t="s">
        <v>116</v>
      </c>
      <c r="C50" s="4" t="s">
        <v>117</v>
      </c>
      <c r="D50" s="4" t="s">
        <v>102</v>
      </c>
      <c r="E50" s="3" t="s">
        <v>12</v>
      </c>
      <c r="F50" s="4">
        <v>65</v>
      </c>
      <c r="G50" s="5">
        <v>24.5</v>
      </c>
      <c r="H50" s="5">
        <f>F50*G50</f>
        <v>1592.5</v>
      </c>
      <c r="I50" s="4" t="str">
        <f>IF(H50&gt;1000,"Importe Alto","Importe Normal")</f>
        <v>Importe Alto</v>
      </c>
    </row>
    <row r="51" spans="1:9" x14ac:dyDescent="0.2">
      <c r="A51" s="3">
        <v>50</v>
      </c>
      <c r="B51" s="3" t="s">
        <v>118</v>
      </c>
      <c r="C51" s="4" t="s">
        <v>119</v>
      </c>
      <c r="D51" s="4" t="s">
        <v>65</v>
      </c>
      <c r="E51" s="3" t="s">
        <v>12</v>
      </c>
      <c r="F51" s="4">
        <v>100</v>
      </c>
      <c r="G51" s="5">
        <v>10.5</v>
      </c>
      <c r="H51" s="5">
        <f>F51*G51</f>
        <v>1050</v>
      </c>
      <c r="I51" s="4" t="str">
        <f>IF(H51&gt;1000,"Importe Alto","Importe Normal")</f>
        <v>Importe Alto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defaultRowHeight="15" x14ac:dyDescent="0.2"/>
  <cols>
    <col min="1" max="1" width="57.9765625" customWidth="1"/>
    <col min="2" max="2" width="23.9453125" customWidth="1"/>
    <col min="3" max="3" width="4.03515625" customWidth="1"/>
    <col min="4" max="5" width="20.04296875" customWidth="1"/>
    <col min="6" max="6" width="14.9296875" customWidth="1"/>
  </cols>
  <sheetData>
    <row r="1" spans="1:6" ht="18.75" x14ac:dyDescent="0.25">
      <c r="A1" s="6" t="s">
        <v>120</v>
      </c>
      <c r="B1" s="7"/>
      <c r="C1" s="7"/>
      <c r="D1" s="7"/>
      <c r="E1" s="7"/>
      <c r="F1" s="7"/>
    </row>
    <row r="2" spans="1:6" x14ac:dyDescent="0.2">
      <c r="A2" s="7"/>
      <c r="B2" s="7"/>
      <c r="C2" s="7"/>
      <c r="D2" s="7"/>
      <c r="E2" s="7"/>
      <c r="F2" s="7"/>
    </row>
    <row r="3" spans="1:6" x14ac:dyDescent="0.2">
      <c r="A3" s="8" t="s">
        <v>121</v>
      </c>
      <c r="B3" s="9">
        <v>40359</v>
      </c>
      <c r="C3" s="7"/>
      <c r="D3" s="7" t="s">
        <v>3</v>
      </c>
      <c r="E3" s="7" t="s">
        <v>122</v>
      </c>
      <c r="F3" s="7"/>
    </row>
    <row r="4" spans="1:6" x14ac:dyDescent="0.2">
      <c r="A4" s="8" t="s">
        <v>123</v>
      </c>
      <c r="B4" s="9">
        <v>7.7420000000000009</v>
      </c>
      <c r="C4" s="7"/>
      <c r="D4" s="7" t="s">
        <v>102</v>
      </c>
      <c r="E4" s="9">
        <v>9642</v>
      </c>
      <c r="F4" s="7"/>
    </row>
    <row r="5" spans="1:6" x14ac:dyDescent="0.2">
      <c r="A5" s="8" t="s">
        <v>124</v>
      </c>
      <c r="B5" s="7">
        <v>50</v>
      </c>
      <c r="C5" s="7"/>
      <c r="D5" s="7" t="s">
        <v>11</v>
      </c>
      <c r="E5" s="9">
        <v>9464</v>
      </c>
      <c r="F5" s="7"/>
    </row>
    <row r="6" spans="1:6" x14ac:dyDescent="0.2">
      <c r="A6" s="8" t="s">
        <v>125</v>
      </c>
      <c r="B6" s="9">
        <v>36919.5</v>
      </c>
      <c r="C6" s="7"/>
      <c r="D6" s="7" t="s">
        <v>43</v>
      </c>
      <c r="E6" s="9">
        <v>2661.75</v>
      </c>
      <c r="F6" s="7"/>
    </row>
    <row r="7" spans="1:6" x14ac:dyDescent="0.2">
      <c r="A7" s="8" t="s">
        <v>126</v>
      </c>
      <c r="B7" s="9" t="s">
        <v>101</v>
      </c>
      <c r="C7" s="7"/>
      <c r="D7" s="7" t="s">
        <v>65</v>
      </c>
      <c r="E7" s="9">
        <v>4945.5</v>
      </c>
      <c r="F7" s="7"/>
    </row>
    <row r="8" spans="1:6" x14ac:dyDescent="0.2">
      <c r="A8" s="8" t="s">
        <v>127</v>
      </c>
      <c r="B8" s="7">
        <v>1912.5</v>
      </c>
      <c r="C8" s="7"/>
      <c r="D8" s="7" t="s">
        <v>54</v>
      </c>
      <c r="E8" s="9">
        <v>3438.5</v>
      </c>
      <c r="F8" s="7"/>
    </row>
    <row r="9" spans="1:6" x14ac:dyDescent="0.2">
      <c r="A9" s="8" t="s">
        <v>128</v>
      </c>
      <c r="B9" s="7">
        <v>6675</v>
      </c>
      <c r="C9" s="7"/>
      <c r="D9" s="7" t="s">
        <v>76</v>
      </c>
      <c r="E9" s="9">
        <v>3803.5</v>
      </c>
      <c r="F9" s="7"/>
    </row>
    <row r="10" spans="1:6" x14ac:dyDescent="0.2">
      <c r="A10" s="7"/>
      <c r="B10" s="7"/>
      <c r="C10" s="7"/>
      <c r="D10" s="7" t="s">
        <v>89</v>
      </c>
      <c r="E10" s="9">
        <v>6403.75</v>
      </c>
      <c r="F10" s="7"/>
    </row>
    <row r="11" spans="1:6" x14ac:dyDescent="0.2">
      <c r="A11" s="7" t="s">
        <v>8</v>
      </c>
      <c r="B11" s="7" t="s">
        <v>129</v>
      </c>
      <c r="C11" s="7"/>
      <c r="D11" s="7"/>
      <c r="E11" s="7"/>
      <c r="F11" s="7"/>
    </row>
    <row r="12" spans="1:6" x14ac:dyDescent="0.2">
      <c r="A12" s="7" t="s">
        <v>130</v>
      </c>
      <c r="B12" s="7" t="s">
        <v>131</v>
      </c>
      <c r="C12" s="7"/>
      <c r="D12" s="7"/>
      <c r="E12" s="7"/>
      <c r="F12" s="7"/>
    </row>
    <row r="13" spans="1:6" x14ac:dyDescent="0.2">
      <c r="A13" s="7" t="s">
        <v>132</v>
      </c>
      <c r="B13" s="7" t="s">
        <v>133</v>
      </c>
      <c r="C13" s="7"/>
      <c r="D13" s="7"/>
      <c r="E13" s="7"/>
      <c r="F13" s="7"/>
    </row>
    <row r="14" spans="1:6" x14ac:dyDescent="0.2">
      <c r="A14" s="7"/>
      <c r="B14" s="7"/>
      <c r="C14" s="7"/>
      <c r="D14" s="7"/>
      <c r="E14" s="7"/>
      <c r="F14" s="7"/>
    </row>
    <row r="15" spans="1:6" x14ac:dyDescent="0.2">
      <c r="A15" s="8" t="s">
        <v>134</v>
      </c>
      <c r="B15" s="7"/>
      <c r="C15" s="7"/>
      <c r="D15" s="7"/>
      <c r="E15" s="7"/>
      <c r="F15" s="7"/>
    </row>
    <row r="16" spans="1:6" x14ac:dyDescent="0.2">
      <c r="A16" s="10" t="s">
        <v>135</v>
      </c>
      <c r="B16" s="11"/>
      <c r="C16" s="11"/>
      <c r="D16" s="11"/>
      <c r="E16" s="11"/>
      <c r="F16" s="11"/>
    </row>
    <row r="17" spans="1:6" x14ac:dyDescent="0.2">
      <c r="A17" s="11"/>
      <c r="B17" s="11"/>
      <c r="C17" s="11"/>
      <c r="D17" s="11"/>
      <c r="E17" s="11"/>
      <c r="F17" s="11"/>
    </row>
    <row r="18" spans="1:6" x14ac:dyDescent="0.2">
      <c r="A18" s="11"/>
      <c r="B18" s="11"/>
      <c r="C18" s="11"/>
      <c r="D18" s="11"/>
      <c r="E18" s="11"/>
      <c r="F18" s="11"/>
    </row>
  </sheetData>
  <mergeCells count="1">
    <mergeCell ref="A16:F1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Datos_Importación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Cèsar Marìn</cp:lastModifiedBy>
  <dcterms:created xsi:type="dcterms:W3CDTF">2026-09-15T18:58:39Z</dcterms:created>
  <dcterms:modified xsi:type="dcterms:W3CDTF">2026-09-21T03:56:31Z</dcterms:modified>
</cp:coreProperties>
</file>